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che\Desktop\Classwork\Green Stocks Analysis\"/>
    </mc:Choice>
  </mc:AlternateContent>
  <xr:revisionPtr revIDLastSave="0" documentId="13_ncr:1_{C7CE74F5-4C41-4D2D-9C20-50C027F31172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8" i="4" l="1"/>
  <c r="L27" i="4"/>
  <c r="L25" i="4"/>
  <c r="L21" i="4"/>
  <c r="H26" i="4"/>
  <c r="G26" i="4"/>
  <c r="G25" i="4"/>
  <c r="H25" i="4"/>
  <c r="H24" i="4"/>
  <c r="G24" i="4"/>
  <c r="H23" i="4"/>
  <c r="G23" i="4"/>
  <c r="H22" i="4"/>
  <c r="G22" i="4"/>
  <c r="H21" i="4" a="1"/>
  <c r="H21" i="4" s="1"/>
  <c r="G21" i="4" a="1"/>
  <c r="G21" i="4" s="1"/>
  <c r="H20" i="4"/>
  <c r="G20" i="4"/>
  <c r="H19" i="4"/>
  <c r="G19" i="4"/>
  <c r="H27" i="4" l="1"/>
  <c r="H29" i="4" s="1"/>
  <c r="G27" i="4"/>
  <c r="G29" i="4" s="1"/>
  <c r="H28" i="4" l="1"/>
  <c r="H30" i="4" s="1"/>
  <c r="G28" i="4"/>
  <c r="G30" i="4" s="1"/>
  <c r="D20" i="4"/>
  <c r="D21" i="4"/>
  <c r="D22" i="4"/>
  <c r="D23" i="4"/>
  <c r="D24" i="4"/>
  <c r="D25" i="4"/>
  <c r="D26" i="4"/>
  <c r="D27" i="4"/>
  <c r="D28" i="4"/>
  <c r="D29" i="4"/>
  <c r="D30" i="4"/>
  <c r="D19" i="4"/>
  <c r="I23" i="4" l="1"/>
  <c r="I26" i="4"/>
  <c r="I25" i="4"/>
  <c r="I24" i="4"/>
  <c r="I22" i="4"/>
  <c r="I21" i="4" a="1"/>
  <c r="I21" i="4" s="1"/>
  <c r="I20" i="4"/>
  <c r="I19" i="4"/>
  <c r="I27" i="4" l="1"/>
  <c r="I29" i="4" s="1"/>
  <c r="I28" i="4" l="1"/>
  <c r="I3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<sst xmlns="http://schemas.openxmlformats.org/spreadsheetml/2006/main" count="12124" uniqueCount="552">
  <si>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</si>
  <si>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</si>
  <si>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</si>
  <si>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</si>
  <si>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</si>
  <si>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</si>
  <si>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</si>
  <si>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</si>
  <si>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</si>
  <si>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</si>
  <si>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</si>
  <si>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</si>
  <si>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</si>
  <si>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</si>
  <si>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</si>
  <si>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</si>
  <si>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</si>
  <si>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</si>
  <si>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</si>
  <si>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</si>
  <si>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</si>
  <si>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</si>
  <si>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</si>
  <si>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</si>
  <si>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</si>
  <si>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</si>
  <si>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</si>
  <si>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</si>
  <si>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</si>
  <si>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</si>
  <si>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</si>
  <si>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</si>
  <si>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</si>
  <si>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</si>
  <si>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</si>
  <si>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</si>
  <si>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</si>
  <si>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</si>
  <si>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</si>
  <si>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</si>
  <si>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</si>
  <si>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</si>
  <si>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</si>
  <si>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</si>
  <si>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</si>
  <si>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</si>
  <si>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</si>
  <si>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</si>
  <si>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</si>
  <si>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</si>
  <si>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</si>
  <si>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</si>
  <si>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</si>
  <si>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</si>
  <si>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</si>
  <si>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</si>
  <si>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</si>
  <si>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</si>
  <si>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</si>
  <si>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</si>
  <si>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</si>
  <si>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</si>
  <si>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</si>
  <si>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</si>
  <si>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</si>
  <si>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</si>
  <si>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</si>
  <si>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</si>
  <si>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</si>
  <si>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</si>
  <si>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</si>
  <si>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</si>
  <si>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</si>
  <si>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</si>
  <si>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</si>
  <si>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</si>
  <si>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</si>
  <si>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</si>
  <si>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</si>
  <si>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</si>
  <si>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</si>
  <si>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</si>
  <si>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</si>
  <si>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</si>
  <si>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</si>
  <si>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</si>
  <si>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</si>
  <si>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</si>
  <si>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</si>
  <si>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</si>
  <si>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</si>
  <si>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</si>
  <si>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</si>
  <si>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</si>
  <si>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</si>
  <si>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</si>
  <si>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</si>
  <si>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</si>
  <si>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</si>
  <si>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</si>
  <si>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</si>
  <si>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</si>
  <si>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</si>
  <si>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</si>
  <si>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</si>
  <si>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</si>
  <si>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</si>
  <si>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</si>
  <si>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</si>
  <si>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</si>
  <si>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</si>
  <si>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</si>
  <si>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</si>
  <si>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</si>
  <si>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</si>
  <si>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</si>
  <si>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</si>
  <si>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</si>
  <si>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</si>
  <si>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</si>
  <si>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</si>
  <si>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</si>
  <si>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</si>
  <si>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</si>
  <si>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</si>
  <si>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</si>
  <si>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</si>
  <si>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</si>
  <si>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</si>
  <si>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</si>
  <si>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</si>
  <si>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</si>
  <si>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</si>
  <si>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</si>
  <si>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</si>
  <si>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</si>
  <si>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</si>
  <si>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</si>
  <si>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</si>
  <si>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</si>
  <si>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</si>
  <si>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</si>
  <si>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</si>
  <si>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</si>
  <si>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</si>
  <si>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</si>
  <si>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</si>
  <si>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</si>
  <si>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</si>
  <si>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</si>
  <si>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</si>
  <si>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</si>
  <si>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</si>
  <si>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</si>
  <si>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</si>
  <si>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</si>
  <si>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</si>
  <si>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</si>
  <si>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</si>
  <si>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</si>
  <si>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</si>
  <si>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</si>
  <si>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</si>
  <si>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</si>
  <si>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</si>
  <si>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</si>
  <si>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</si>
  <si>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</si>
  <si>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</si>
  <si>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</si>
  <si>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</si>
  <si>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</si>
  <si>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</si>
  <si>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</si>
  <si>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</si>
  <si>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</si>
  <si>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</si>
  <si>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</si>
  <si>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</si>
  <si>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</si>
  <si>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</si>
  <si>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</si>
  <si>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</si>
  <si>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</si>
  <si>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</si>
  <si>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</si>
  <si>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</si>
  <si>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</si>
  <si>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</si>
  <si>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</si>
  <si>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</si>
  <si>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</si>
  <si>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</si>
  <si>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</si>
  <si>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</si>
  <si>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</si>
  <si>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</si>
  <si>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</si>
  <si>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</si>
  <si>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</si>
  <si>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</si>
  <si>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</si>
  <si>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</si>
  <si>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</si>
  <si>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</si>
  <si>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</si>
  <si>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</si>
  <si>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</si>
  <si>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</si>
  <si>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</si>
  <si>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</si>
  <si>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</si>
  <si>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</si>
  <si>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</si>
  <si>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</si>
  <si>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</si>
  <si>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</si>
  <si>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</si>
  <si>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</si>
  <si>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</si>
  <si>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</si>
  <si>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</si>
  <si>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</si>
  <si>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</si>
  <si>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</si>
  <si>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</si>
  <si>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</si>
  <si>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</si>
  <si>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</si>
  <si>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</si>
  <si>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</si>
  <si>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</si>
  <si>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</si>
  <si>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</si>
  <si>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</si>
  <si>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</si>
  <si>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</si>
  <si>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</si>
  <si>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</si>
  <si>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</si>
  <si>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</si>
  <si>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</si>
  <si>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</si>
  <si>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</si>
  <si>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</si>
  <si>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</si>
  <si>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</si>
  <si>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</si>
  <si>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</si>
  <si>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</si>
  <si>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</si>
  <si>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</si>
  <si>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</si>
  <si>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</si>
  <si>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</si>
  <si>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</si>
  <si>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</si>
  <si>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</si>
  <si>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</si>
  <si>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</si>
  <si>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</si>
  <si>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</si>
  <si>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</si>
  <si>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</si>
  <si>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</si>
  <si>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</si>
  <si>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</si>
  <si>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</si>
  <si>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</si>
  <si>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</si>
  <si>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</si>
  <si>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</si>
  <si>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</si>
  <si>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</si>
  <si>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</si>
  <si>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</si>
  <si>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</si>
  <si>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</si>
  <si>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</si>
  <si>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</si>
  <si>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</si>
  <si>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</si>
  <si>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</si>
  <si>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</si>
  <si>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</si>
  <si>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</si>
  <si>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</si>
  <si>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</si>
  <si>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</si>
  <si>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</si>
  <si>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</si>
  <si>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</si>
  <si>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</si>
  <si>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</si>
  <si>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</si>
  <si>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</si>
  <si>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</si>
  <si>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</si>
  <si>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</si>
  <si>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</si>
  <si>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</si>
  <si>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</si>
  <si>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</si>
  <si>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</si>
  <si>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</si>
  <si>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</si>
  <si>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</si>
  <si>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</si>
  <si>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</si>
  <si>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</si>
  <si>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</si>
  <si>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</si>
  <si>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</si>
  <si>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</si>
  <si>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</si>
  <si>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</si>
  <si>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</si>
  <si>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</si>
  <si>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</si>
  <si>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</si>
  <si>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</si>
  <si>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</si>
  <si>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</si>
  <si>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</si>
  <si>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</si>
  <si>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</si>
  <si>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</si>
  <si>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</si>
  <si>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</si>
  <si>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</si>
  <si>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</si>
  <si>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</si>
  <si>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</si>
  <si>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</si>
  <si>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</si>
  <si>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</si>
  <si>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</si>
  <si>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</si>
  <si>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</si>
  <si>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</si>
  <si>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</si>
  <si>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</si>
  <si>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</si>
  <si>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</si>
  <si>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</si>
  <si>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</si>
  <si>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</si>
  <si>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</si>
  <si>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</si>
  <si>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</si>
  <si>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</si>
  <si>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</si>
  <si>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</si>
  <si>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</si>
  <si>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</si>
  <si>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</si>
  <si>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</si>
  <si>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</si>
  <si>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</si>
  <si>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</si>
  <si>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</si>
  <si>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</si>
  <si>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</si>
  <si>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</si>
  <si>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</si>
  <si>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</si>
  <si>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</si>
  <si>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</si>
  <si>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</si>
  <si>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</si>
  <si>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</si>
  <si>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</si>
  <si>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</si>
  <si>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</si>
  <si>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</si>
  <si>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</si>
  <si>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</si>
  <si>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</si>
  <si>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</si>
  <si>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</si>
  <si>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</si>
  <si>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</si>
  <si>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</si>
  <si>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</si>
  <si>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</si>
  <si>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</si>
  <si>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</si>
  <si>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</si>
  <si>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</si>
  <si>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</si>
  <si>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</si>
  <si>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</si>
  <si>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</si>
  <si>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</si>
  <si>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</si>
  <si>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</si>
  <si>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</si>
  <si>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</si>
  <si>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</si>
  <si>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</si>
  <si>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</si>
  <si>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</si>
  <si>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</si>
  <si>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</si>
  <si>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</si>
  <si>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</si>
  <si>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</si>
  <si>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</si>
  <si>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</si>
  <si>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</si>
  <si>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</si>
  <si>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</si>
  <si>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</si>
  <si>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</si>
  <si>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</si>
  <si>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</si>
  <si>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</si>
  <si>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</si>
  <si>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</si>
  <si>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</si>
  <si>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</si>
  <si>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</si>
  <si>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</si>
  <si>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</si>
  <si>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</si>
  <si>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</si>
  <si>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</si>
  <si>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</si>
  <si>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</si>
  <si>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</si>
  <si>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</si>
  <si>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</si>
  <si>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</si>
  <si>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</si>
  <si>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</si>
  <si>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</si>
  <si>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</si>
  <si>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</si>
  <si>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</si>
  <si>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</si>
  <si>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</si>
  <si>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</si>
  <si>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</si>
  <si>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</si>
  <si>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</si>
  <si>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</si>
  <si>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</si>
  <si>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</si>
  <si>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</si>
  <si>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</si>
  <si>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</si>
  <si>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</si>
  <si>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</si>
  <si>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</si>
  <si>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</si>
  <si>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</si>
  <si>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</si>
  <si>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</si>
  <si>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</si>
  <si>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</si>
  <si>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</si>
  <si>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</si>
  <si>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</si>
  <si>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</si>
  <si>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</si>
  <si>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</si>
  <si>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</si>
  <si>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</si>
  <si>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</si>
  <si>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</si>
  <si>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</si>
  <si>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</si>
  <si>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</si>
  <si>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</si>
  <si>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</si>
  <si>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</si>
  <si>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</si>
  <si>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</si>
  <si>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</si>
  <si>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</si>
  <si>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</si>
  <si>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</si>
  <si>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</si>
  <si>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</si>
  <si>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</si>
  <si>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</si>
  <si>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</si>
  <si>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</si>
  <si>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</si>
  <si>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</si>
  <si>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</si>
  <si>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</si>
  <si>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</si>
  <si>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</si>
  <si>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</si>
  <si>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</si>
  <si>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</si>
  <si>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</si>
  <si>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</si>
  <si>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</si>
  <si>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</si>
  <si>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</si>
  <si>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</si>
  <si>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</si>
  <si>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</si>
  <si>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</si>
  <si>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</si>
  <si>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</si>
  <si>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</si>
  <si>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</si>
  <si>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</si>
  <si>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</si>
  <si>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</si>
  <si>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</si>
  <si>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</si>
  <si>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</si>
  <si>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</si>
  <si>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</si>
  <si>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</si>
  <si>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</si>
  <si>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</si>
  <si>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</si>
  <si>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</si>
  <si>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</si>
  <si>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</si>
  <si>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</si>
  <si>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</si>
  <si>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2017 R</t>
  </si>
  <si>
    <t>2018 R</t>
  </si>
  <si>
    <t>Variance</t>
  </si>
  <si>
    <t>Mean</t>
  </si>
  <si>
    <t>Median</t>
  </si>
  <si>
    <t>Mode</t>
  </si>
  <si>
    <t>Minimum</t>
  </si>
  <si>
    <t>Standard Deviation</t>
  </si>
  <si>
    <t>Upper Quartile</t>
  </si>
  <si>
    <t>Lower Quartile</t>
  </si>
  <si>
    <t>IQR</t>
  </si>
  <si>
    <t>Upper Limit</t>
  </si>
  <si>
    <t>Lower Limit</t>
  </si>
  <si>
    <t>Skewed?</t>
  </si>
  <si>
    <t>Maximum</t>
  </si>
  <si>
    <t>#Potential Outliers</t>
  </si>
  <si>
    <t>Data is right Skewed</t>
  </si>
  <si>
    <t>Run times (limited data)</t>
  </si>
  <si>
    <t>2017 OG</t>
  </si>
  <si>
    <t>2017 RF</t>
  </si>
  <si>
    <t>2018 OG</t>
  </si>
  <si>
    <t>2018 RF</t>
  </si>
  <si>
    <t>OG Average</t>
  </si>
  <si>
    <t>RF Average</t>
  </si>
  <si>
    <t>Percent lowered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</si>
</sst>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2" xfId="0" applyBorder="1"/>
    <xf numFmtId="0" fontId="1" fillId="0" borderId="0" xfId="0" applyFont="1" applyFill="1" applyBorder="1"/>
    <xf numFmtId="0" fontId="0" fillId="0" borderId="0" xfId="0" applyFill="1" applyBorder="1"/>
    <xf numFmtId="3" fontId="0" fillId="0" borderId="0" xfId="0" applyNumberFormat="1" applyFill="1" applyBorder="1"/>
    <xf numFmtId="164" fontId="0" fillId="0" borderId="0" xfId="0" applyNumberFormat="1" applyFill="1" applyBorder="1"/>
    <xf numFmtId="164" fontId="0" fillId="2" borderId="3" xfId="0" applyNumberFormat="1" applyFill="1" applyBorder="1"/>
    <xf numFmtId="10" fontId="1" fillId="0" borderId="0" xfId="0" applyNumberFormat="1" applyFont="1" applyFill="1" applyBorder="1"/>
    <xf numFmtId="10" fontId="0" fillId="0" borderId="0" xfId="0" applyNumberFormat="1" applyFill="1" applyBorder="1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243840</xdr:colOff>
          <xdr:row>1</xdr:row>
          <xdr:rowOff>121920</xdr:rowOff>
        </xdr:from>
        <xdr:to>
          <xdr:col>7</xdr:col>
          <xdr:colOff>198120</xdr:colOff>
          <xdr:row>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8" sqref="I8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5818-B591-408D-8DCD-E51E5F647043}">
  <sheetPr codeName="Sheet3"/>
  <dimension ref="A1:C4"/>
  <sheetViews>
    <sheetView workbookViewId="0">
      <selection activeCell="A4" sqref="A4"/>
    </sheetView>
  </sheetViews>
  <sheetFormatPr defaultRowHeight="14.4" x14ac:dyDescent="0.3"/>
  <cols>
    <col min="1" max="1" width="17.109375" bestFit="1" customWidth="1"/>
    <col min="2" max="2" width="17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9E5C-8685-41AE-B132-CEAC0BA7E1BB}">
  <sheetPr codeName="Sheet4"/>
  <dimension ref="A1:S31"/>
  <sheetViews>
    <sheetView tabSelected="1" workbookViewId="0">
      <selection activeCell="K18" sqref="K18:L28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20.109375" customWidth="1"/>
    <col min="5" max="5" width="10.6640625" customWidth="1"/>
    <col min="6" max="6" width="8.88671875" customWidth="1"/>
    <col min="7" max="7" width="8.77734375" customWidth="1"/>
    <col min="8" max="8" width="11.77734375" customWidth="1"/>
    <col min="9" max="9" width="16.5546875" bestFit="1" customWidth="1"/>
    <col min="11" max="11" width="14.77734375" customWidth="1"/>
    <col min="16" max="16" width="14.21875" customWidth="1"/>
    <col min="17" max="17" width="16.109375" customWidth="1"/>
    <col min="18" max="18" width="12.88671875" customWidth="1"/>
  </cols>
  <sheetData>
    <row r="1" spans="1:18" x14ac:dyDescent="0.3">
      <c r="A1" t="s">
        <v>526</v>
      </c>
    </row>
    <row r="3" spans="1:18" x14ac:dyDescent="0.3">
      <c r="A3" s="2" t="s">
        <v>0</v>
      </c>
      <c r="B3" s="2" t="s">
        <v>524</v>
      </c>
      <c r="C3" s="2" t="s">
        <v>525</v>
      </c>
    </row>
    <row r="4" spans="1:18" x14ac:dyDescent="0.3">
      <c r="A4" t="s">
        <v>8</v>
      </c>
      <c r="B4" s="3">
        <v>136070900</v>
      </c>
      <c r="C4" s="5">
        <v>8.9368253946304321E-2</v>
      </c>
    </row>
    <row r="5" spans="1:18" x14ac:dyDescent="0.3">
      <c r="A5" t="s">
        <v>9</v>
      </c>
      <c r="B5" s="3">
        <v>310592800</v>
      </c>
      <c r="C5" s="5">
        <v>0.33070248365402222</v>
      </c>
    </row>
    <row r="6" spans="1:18" x14ac:dyDescent="0.3">
      <c r="A6" t="s">
        <v>10</v>
      </c>
      <c r="B6" s="3">
        <v>35796200</v>
      </c>
      <c r="C6" s="5">
        <v>1.9944583177566528</v>
      </c>
    </row>
    <row r="7" spans="1:18" x14ac:dyDescent="0.3">
      <c r="A7" t="s">
        <v>11</v>
      </c>
      <c r="B7" s="3">
        <v>221772100</v>
      </c>
      <c r="C7" s="5">
        <v>1.2952382564544678</v>
      </c>
    </row>
    <row r="8" spans="1:18" x14ac:dyDescent="0.3">
      <c r="A8" t="s">
        <v>12</v>
      </c>
      <c r="B8" s="3">
        <v>684181400</v>
      </c>
      <c r="C8" s="5">
        <v>1.0131185054779053</v>
      </c>
    </row>
    <row r="9" spans="1:18" x14ac:dyDescent="0.3">
      <c r="A9" t="s">
        <v>13</v>
      </c>
      <c r="B9" s="3">
        <v>80949300</v>
      </c>
      <c r="C9" s="5">
        <v>0.2583681046962738</v>
      </c>
    </row>
    <row r="10" spans="1:18" x14ac:dyDescent="0.3">
      <c r="A10" t="s">
        <v>14</v>
      </c>
      <c r="B10" s="3">
        <v>191632200</v>
      </c>
      <c r="C10" s="5">
        <v>0.53870755434036255</v>
      </c>
    </row>
    <row r="11" spans="1:18" x14ac:dyDescent="0.3">
      <c r="A11" t="s">
        <v>15</v>
      </c>
      <c r="B11" s="3">
        <v>267681300</v>
      </c>
      <c r="C11" s="5">
        <v>5.5456161499023438E-2</v>
      </c>
    </row>
    <row r="12" spans="1:18" x14ac:dyDescent="0.3">
      <c r="A12" t="s">
        <v>16</v>
      </c>
      <c r="B12" s="3">
        <v>206885200</v>
      </c>
      <c r="C12" s="5">
        <v>1.8446969985961914</v>
      </c>
    </row>
    <row r="13" spans="1:18" x14ac:dyDescent="0.3">
      <c r="A13" t="s">
        <v>17</v>
      </c>
      <c r="B13" s="3">
        <v>782187000</v>
      </c>
      <c r="C13" s="5">
        <v>0.23065699636936188</v>
      </c>
    </row>
    <row r="14" spans="1:18" x14ac:dyDescent="0.3">
      <c r="A14" t="s">
        <v>18</v>
      </c>
      <c r="B14" s="3">
        <v>139402800</v>
      </c>
      <c r="C14" s="4">
        <v>-7.2148971259593964E-2</v>
      </c>
    </row>
    <row r="15" spans="1:18" x14ac:dyDescent="0.3">
      <c r="A15" t="s">
        <v>19</v>
      </c>
      <c r="B15" s="3">
        <v>109487900</v>
      </c>
      <c r="C15" s="5">
        <v>0.50000005960464478</v>
      </c>
    </row>
    <row r="16" spans="1:18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8" spans="1:19" x14ac:dyDescent="0.3">
      <c r="A18" s="2" t="s">
        <v>0</v>
      </c>
      <c r="B18" s="2" t="s">
        <v>527</v>
      </c>
      <c r="C18" s="2" t="s">
        <v>528</v>
      </c>
      <c r="D18" s="2" t="s">
        <v>529</v>
      </c>
      <c r="G18">
        <v>2017</v>
      </c>
      <c r="H18">
        <v>2018</v>
      </c>
      <c r="I18" t="s">
        <v>529</v>
      </c>
      <c r="K18" t="s">
        <v>544</v>
      </c>
    </row>
    <row r="19" spans="1:19" x14ac:dyDescent="0.3">
      <c r="A19" t="s">
        <v>8</v>
      </c>
      <c r="B19" s="5">
        <v>8.9368253946304321E-2</v>
      </c>
      <c r="C19" s="4">
        <v>-7.2847634553909302E-2</v>
      </c>
      <c r="D19" s="11">
        <f>-(B19-C19)</f>
        <v>-0.16221588850021362</v>
      </c>
      <c r="F19" t="s">
        <v>530</v>
      </c>
      <c r="G19" s="12">
        <f>AVERAGE(B19:B30)</f>
        <v>0.67321856009463465</v>
      </c>
      <c r="H19" s="12">
        <f>AVERAGE(C19:C30)</f>
        <v>-8.5115838795900345E-2</v>
      </c>
      <c r="I19" s="12">
        <f>AVERAGE(D19:D30)</f>
        <v>-0.758334398890535</v>
      </c>
      <c r="K19" t="s">
        <v>545</v>
      </c>
      <c r="L19">
        <v>1.4140630000000001</v>
      </c>
      <c r="R19" s="7"/>
      <c r="S19" s="8"/>
    </row>
    <row r="20" spans="1:19" x14ac:dyDescent="0.3">
      <c r="A20" t="s">
        <v>9</v>
      </c>
      <c r="B20" s="5">
        <v>0.33070248365402222</v>
      </c>
      <c r="C20" s="4">
        <v>-0.16336052119731903</v>
      </c>
      <c r="D20" s="11">
        <f>-(B20-C20)</f>
        <v>-0.49406300485134125</v>
      </c>
      <c r="F20" t="s">
        <v>531</v>
      </c>
      <c r="G20" s="13">
        <f>MEDIAN(B19:B30)</f>
        <v>0.4153512716293335</v>
      </c>
      <c r="H20" s="13">
        <f>MEDIAN(C19:C30)</f>
        <v>-0.12044505402445793</v>
      </c>
      <c r="I20" s="13">
        <f>MEDIAN(D19:D30)</f>
        <v>-0.51475306414067745</v>
      </c>
      <c r="K20" s="7" t="s">
        <v>547</v>
      </c>
      <c r="L20">
        <v>1.3671880000000001</v>
      </c>
      <c r="P20" s="8"/>
      <c r="Q20" s="9"/>
      <c r="R20" s="10"/>
      <c r="S20" s="8"/>
    </row>
    <row r="21" spans="1:19" x14ac:dyDescent="0.3">
      <c r="A21" t="s">
        <v>10</v>
      </c>
      <c r="B21" s="5">
        <v>1.9944583177566528</v>
      </c>
      <c r="C21" s="4">
        <v>-0.62601888179779053</v>
      </c>
      <c r="D21" s="11">
        <f>-(B21-C21)</f>
        <v>-2.6204771995544434</v>
      </c>
      <c r="F21" t="s">
        <v>532</v>
      </c>
      <c r="G21" s="13" t="e" cm="1">
        <f t="array" ref="G21">_xlfn.MODE.MULT(B19:B30)</f>
        <v>#N/A</v>
      </c>
      <c r="H21" s="13" t="e" cm="1">
        <f t="array" ref="H21">_xlfn.MODE.MULT(C19:C30)</f>
        <v>#N/A</v>
      </c>
      <c r="I21" s="13" t="e" cm="1">
        <f t="array" ref="I21">_xlfn.MODE.MULT(D19:D30)</f>
        <v>#N/A</v>
      </c>
      <c r="K21" s="7" t="s">
        <v>549</v>
      </c>
      <c r="L21">
        <f>AVERAGE(L19:L20)</f>
        <v>1.3906255000000001</v>
      </c>
      <c r="P21" s="8"/>
      <c r="Q21" s="9"/>
      <c r="R21" s="10"/>
      <c r="S21" s="8"/>
    </row>
    <row r="22" spans="1:19" x14ac:dyDescent="0.3">
      <c r="A22" t="s">
        <v>11</v>
      </c>
      <c r="B22" s="5">
        <v>1.2952382564544678</v>
      </c>
      <c r="C22" s="5">
        <v>0.81923085451126099</v>
      </c>
      <c r="D22" s="11">
        <f>-(B22-C22)</f>
        <v>-0.47600740194320679</v>
      </c>
      <c r="F22" t="s">
        <v>533</v>
      </c>
      <c r="G22" s="13">
        <f>MIN(B19:B30)</f>
        <v>-7.2148971259593964E-2</v>
      </c>
      <c r="H22" s="13">
        <f>MIN(C19:C30)</f>
        <v>-0.62601888179779053</v>
      </c>
      <c r="I22" s="13">
        <f>MIN(D19:D30)</f>
        <v>-2.6204771995544434</v>
      </c>
      <c r="P22" s="8"/>
      <c r="Q22" s="9"/>
      <c r="R22" s="10"/>
      <c r="S22" s="8"/>
    </row>
    <row r="23" spans="1:19" x14ac:dyDescent="0.3">
      <c r="A23" t="s">
        <v>12</v>
      </c>
      <c r="B23" s="5">
        <v>1.0131185054779053</v>
      </c>
      <c r="C23" s="4">
        <v>-0.39713191986083984</v>
      </c>
      <c r="D23" s="11">
        <f>-(B23-C23)</f>
        <v>-1.4102504253387451</v>
      </c>
      <c r="F23" t="s">
        <v>541</v>
      </c>
      <c r="G23" s="13">
        <f>MAX(B19:B30)</f>
        <v>1.9944583177566528</v>
      </c>
      <c r="H23" s="13">
        <f>MAX(C19:C30)</f>
        <v>0.83952707052230835</v>
      </c>
      <c r="I23" s="13">
        <f>MAX(D19:D30)</f>
        <v>0.78407090902328491</v>
      </c>
      <c r="K23" t="s">
        <v>546</v>
      </c>
      <c r="L23">
        <v>0.1875</v>
      </c>
      <c r="P23" s="8"/>
      <c r="Q23" s="9"/>
      <c r="R23" s="10"/>
      <c r="S23" s="8"/>
    </row>
    <row r="24" spans="1:19" x14ac:dyDescent="0.3">
      <c r="A24" t="s">
        <v>13</v>
      </c>
      <c r="B24" s="5">
        <v>0.2583681046962738</v>
      </c>
      <c r="C24" s="4">
        <v>-0.20658062398433685</v>
      </c>
      <c r="D24" s="11">
        <f>-(B24-C24)</f>
        <v>-0.46494872868061066</v>
      </c>
      <c r="F24" t="s">
        <v>534</v>
      </c>
      <c r="G24" s="13">
        <f>_xlfn.STDEV.P(B19:B30)</f>
        <v>0.67280122019618149</v>
      </c>
      <c r="H24" s="13">
        <f>_xlfn.STDEV.P(C19:C30)</f>
        <v>0.45537102146686737</v>
      </c>
      <c r="I24" s="13">
        <f>_xlfn.STDEV.P(D19:D30)</f>
        <v>0.86754314649864883</v>
      </c>
      <c r="K24" s="7" t="s">
        <v>548</v>
      </c>
      <c r="L24">
        <v>0.234375</v>
      </c>
      <c r="P24" s="8"/>
      <c r="Q24" s="9"/>
      <c r="R24" s="10"/>
      <c r="S24" s="8"/>
    </row>
    <row r="25" spans="1:19" x14ac:dyDescent="0.3">
      <c r="A25" t="s">
        <v>14</v>
      </c>
      <c r="B25" s="5">
        <v>0.53870755434036255</v>
      </c>
      <c r="C25" s="4">
        <v>-0.6053471565246582</v>
      </c>
      <c r="D25" s="11">
        <f>-(B25-C25)</f>
        <v>-1.1440547108650208</v>
      </c>
      <c r="F25" t="s">
        <v>535</v>
      </c>
      <c r="G25" s="13">
        <f>_xlfn.QUARTILE.EXC(B19:B30,3)</f>
        <v>1.2247083187103271</v>
      </c>
      <c r="H25" s="13">
        <f>_xlfn.QUARTILE.EXC(C19:C30,3)</f>
        <v>-3.9071716368198395E-2</v>
      </c>
      <c r="I25" s="13">
        <f>_xlfn.QUARTILE.EXC(D19:D30,3)</f>
        <v>-0.23789909854531288</v>
      </c>
      <c r="K25" s="7" t="s">
        <v>550</v>
      </c>
      <c r="L25">
        <f>AVERAGE(L23:L24)</f>
        <v>0.2109375</v>
      </c>
      <c r="P25" s="8"/>
      <c r="Q25" s="9"/>
      <c r="R25" s="10"/>
      <c r="S25" s="8"/>
    </row>
    <row r="26" spans="1:19" x14ac:dyDescent="0.3">
      <c r="A26" t="s">
        <v>15</v>
      </c>
      <c r="B26" s="5">
        <v>5.5456161499023438E-2</v>
      </c>
      <c r="C26" s="5">
        <v>0.83952707052230835</v>
      </c>
      <c r="D26" s="11">
        <f>-(B26-C26)</f>
        <v>0.78407090902328491</v>
      </c>
      <c r="F26" t="s">
        <v>536</v>
      </c>
      <c r="G26" s="13">
        <f>_xlfn.QUARTILE.EXC(B19:B30,1)</f>
        <v>0.12469043955206871</v>
      </c>
      <c r="H26" s="13">
        <f>_xlfn.QUARTILE.EXC(C19:C30,1)</f>
        <v>-0.43373117595911026</v>
      </c>
      <c r="I26" s="13">
        <f>_xlfn.QUARTILE.EXC(D19:D30,1)</f>
        <v>-1.343701496720314</v>
      </c>
      <c r="P26" s="8"/>
      <c r="Q26" s="9"/>
      <c r="R26" s="10"/>
      <c r="S26" s="8"/>
    </row>
    <row r="27" spans="1:19" x14ac:dyDescent="0.3">
      <c r="A27" t="s">
        <v>16</v>
      </c>
      <c r="B27" s="5">
        <v>1.8446969985961914</v>
      </c>
      <c r="C27" s="4">
        <v>-7.7529586851596832E-2</v>
      </c>
      <c r="D27" s="11">
        <f>-(B27-C27)</f>
        <v>-1.9222265854477882</v>
      </c>
      <c r="F27" t="s">
        <v>537</v>
      </c>
      <c r="G27" s="13">
        <f>G25-G26</f>
        <v>1.1000178791582584</v>
      </c>
      <c r="H27" s="13">
        <f t="shared" ref="H27:I27" si="0">H25-H26</f>
        <v>0.39465945959091187</v>
      </c>
      <c r="I27" s="13">
        <f t="shared" si="0"/>
        <v>1.1058023981750011</v>
      </c>
      <c r="K27" s="7" t="s">
        <v>529</v>
      </c>
      <c r="L27">
        <f>L25-L21</f>
        <v>-1.1796880000000001</v>
      </c>
      <c r="P27" s="8"/>
      <c r="Q27" s="9"/>
      <c r="R27" s="10"/>
      <c r="S27" s="8"/>
    </row>
    <row r="28" spans="1:19" x14ac:dyDescent="0.3">
      <c r="A28" t="s">
        <v>17</v>
      </c>
      <c r="B28" s="5">
        <v>0.23065699636936188</v>
      </c>
      <c r="C28" s="4">
        <v>-0.44593092799186707</v>
      </c>
      <c r="D28" s="11">
        <f>-(B28-C28)</f>
        <v>-0.67658792436122894</v>
      </c>
      <c r="F28" t="s">
        <v>538</v>
      </c>
      <c r="G28" s="13">
        <f>G25+(1.5*G27)</f>
        <v>2.8747351374477148</v>
      </c>
      <c r="H28" s="13">
        <f t="shared" ref="H28:I28" si="1">H25+(1.5*H27)</f>
        <v>0.5529174730181694</v>
      </c>
      <c r="I28" s="13">
        <f t="shared" si="1"/>
        <v>1.4208044987171888</v>
      </c>
      <c r="K28" s="7" t="s">
        <v>551</v>
      </c>
      <c r="L28">
        <f>L27/L21</f>
        <v>-0.84831466128012178</v>
      </c>
      <c r="P28" s="8"/>
      <c r="Q28" s="9"/>
      <c r="R28" s="10"/>
      <c r="S28" s="8"/>
    </row>
    <row r="29" spans="1:19" x14ac:dyDescent="0.3">
      <c r="A29" t="s">
        <v>18</v>
      </c>
      <c r="B29" s="4">
        <v>-7.2148971259593964E-2</v>
      </c>
      <c r="C29" s="4">
        <v>-4.9957673996686935E-2</v>
      </c>
      <c r="D29" s="11">
        <f>-(B29-C29)</f>
        <v>2.2191297262907028E-2</v>
      </c>
      <c r="F29" t="s">
        <v>539</v>
      </c>
      <c r="G29" s="13">
        <f>G26-(1.5*G27)</f>
        <v>-1.5253363791853189</v>
      </c>
      <c r="H29" s="13">
        <f t="shared" ref="H29:I29" si="2">H26-(1.5*H27)</f>
        <v>-1.0257203653454781</v>
      </c>
      <c r="I29" s="13">
        <f t="shared" si="2"/>
        <v>-3.0024050939828157</v>
      </c>
      <c r="P29" s="8"/>
      <c r="Q29" s="9"/>
      <c r="R29" s="10"/>
      <c r="S29" s="8"/>
    </row>
    <row r="30" spans="1:19" x14ac:dyDescent="0.3">
      <c r="A30" t="s">
        <v>19</v>
      </c>
      <c r="B30" s="5">
        <v>0.50000005960464478</v>
      </c>
      <c r="C30" s="4">
        <v>-3.5443063825368881E-2</v>
      </c>
      <c r="D30" s="11">
        <f>-(B30-C30)</f>
        <v>-0.53544312343001366</v>
      </c>
      <c r="F30" t="s">
        <v>542</v>
      </c>
      <c r="G30" s="9">
        <f>COUNTIFS(B19:B30,"&gt;"&amp;G28)</f>
        <v>0</v>
      </c>
      <c r="H30" s="9">
        <f>COUNTIFS(C19:C30,"&gt;"&amp;H28)</f>
        <v>2</v>
      </c>
      <c r="I30" s="9">
        <f>COUNTIFS(D19:D30,"&gt;"&amp;I28)</f>
        <v>0</v>
      </c>
      <c r="P30" s="8"/>
      <c r="Q30" s="9"/>
      <c r="R30" s="10"/>
      <c r="S30" s="8"/>
    </row>
    <row r="31" spans="1:19" x14ac:dyDescent="0.3">
      <c r="F31" t="s">
        <v>540</v>
      </c>
      <c r="G31" s="9" t="s">
        <v>543</v>
      </c>
      <c r="H31" s="10"/>
      <c r="I31" s="8"/>
      <c r="P31" s="8"/>
      <c r="Q31" s="9"/>
      <c r="R31" s="10"/>
      <c r="S31" s="8"/>
    </row>
  </sheetData>
  <conditionalFormatting sqref="D19:D30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243840</xdr:colOff>
                    <xdr:row>1</xdr:row>
                    <xdr:rowOff>121920</xdr:rowOff>
                  </from>
                  <to>
                    <xdr:col>7</xdr:col>
                    <xdr:colOff>198120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Conner</dc:creator>
  <cp:lastModifiedBy>rache</cp:lastModifiedBy>
  <dcterms:created xsi:type="dcterms:W3CDTF">2019-05-02T20:23:55Z</dcterms:created>
  <dcterms:modified xsi:type="dcterms:W3CDTF">2022-09-04T01:13:10Z</dcterms:modified>
</cp:coreProperties>
</file>